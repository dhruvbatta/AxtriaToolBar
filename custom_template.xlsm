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hruv-mac/Documents/"/>
    </mc:Choice>
  </mc:AlternateContent>
  <xr:revisionPtr revIDLastSave="0" documentId="13_ncr:1_{24189EAD-D5C5-D24C-9329-91C98E1DD2DB}" xr6:coauthVersionLast="47" xr6:coauthVersionMax="47" xr10:uidLastSave="{00000000-0000-0000-0000-000000000000}"/>
  <bookViews>
    <workbookView xWindow="380" yWindow="500" windowWidth="28040" windowHeight="16400" xr2:uid="{99BC92DB-CF9D-2648-A7B5-B24486DBA713}"/>
  </bookViews>
  <sheets>
    <sheet name="Patient-Based Forecast" sheetId="10" r:id="rId1"/>
    <sheet name="Errors" sheetId="9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9" l="1"/>
  <c r="D10" i="9"/>
  <c r="D9" i="9"/>
  <c r="D8" i="9"/>
  <c r="D7" i="9"/>
  <c r="B7" i="1"/>
  <c r="B6" i="1"/>
  <c r="B5" i="1"/>
  <c r="B4" i="1"/>
  <c r="B3" i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<sst xmlns="http://schemas.openxmlformats.org/spreadsheetml/2006/main" count="53" uniqueCount="25">
  <si>
    <t>Sheet Name</t>
  </si>
  <si>
    <t>Cell Address</t>
  </si>
  <si>
    <t>Error Type</t>
  </si>
  <si>
    <t>Description</t>
  </si>
  <si>
    <t>Sheet1</t>
  </si>
  <si>
    <t>$B$3</t>
  </si>
  <si>
    <t>Value Error</t>
  </si>
  <si>
    <t>$B$4</t>
  </si>
  <si>
    <t>$B$5</t>
  </si>
  <si>
    <t>$B$6</t>
  </si>
  <si>
    <t>$B$7</t>
  </si>
  <si>
    <t>Formula Error</t>
  </si>
  <si>
    <t>Patient Population Definition</t>
  </si>
  <si>
    <t>Epidemiological Data</t>
  </si>
  <si>
    <t>Patient Segmentation</t>
  </si>
  <si>
    <t>Treatment Pathways</t>
  </si>
  <si>
    <t>Market Share &amp; Uptake Rates</t>
  </si>
  <si>
    <t>Forecast Demand</t>
  </si>
  <si>
    <t>External Factors</t>
  </si>
  <si>
    <t>Enter data here...</t>
  </si>
  <si>
    <t>Treatment Pathway</t>
  </si>
  <si>
    <t>Uptake Rate</t>
  </si>
  <si>
    <t>First-Line Therapy</t>
  </si>
  <si>
    <t>Second-Line Therapy</t>
  </si>
  <si>
    <t>Third-Line Therapy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</si>
</sst>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4"/>
      <color theme="1"/>
      <name val="Calibri"/>
      <family val="2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FA07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Treatment Pathway vs Uptake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'Patient-Based Forecast'!$B$10</c:f>
              <c:strCache>
                <c:ptCount val="1"/>
                <c:pt idx="0">
                  <c:v>Uptake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'Patient-Based Forecast'!$A$11:$A$13</c:f>
              <c:strCache>
                <c:ptCount val="3"/>
                <c:pt idx="0">
                  <c:v>First-Line Therapy</c:v>
                </c:pt>
                <c:pt idx="1">
                  <c:v>Second-Line Therapy</c:v>
                </c:pt>
                <c:pt idx="2">
                  <c:v>Third-Line Therapy</c:v>
                </c:pt>
              </c:strCache>
            </c:strRef>
          </c:cat>
          <c:val>
            <c:numRef>
              <c:f>'Patient-Based Forecast'!$B$11:$B$13</c:f>
              <c:numCache>
                <c:formatCode>General</c:formatCode>
                <c:ptCount val="3"/>
                <c:pt idx="0">
                  <c:v>70</c:v>
                </c:pt>
                <c:pt idx="1">
                  <c:v>50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9E-DA4C-9867-E2FDCF21D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096063"/>
        <c:axId val="801089311"/>
      </c:barChart>
      <c:catAx>
        <c:axId val="8010960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Treatment Pathway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89311"/>
        <c:crosses val="autoZero"/>
        <c:auto val="1"/>
        <c:lblAlgn val="ctr"/>
        <c:lblOffset val="100"/>
        <c:noMultiLvlLbl val="0"/>
      </c:catAx>
      <c:valAx>
        <c:axId val="80108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Uptake Rate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96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393700</xdr:colOff>
      <xdr:row>2</xdr:row>
      <xdr:rowOff>152400</xdr:rowOff>
    </xdr:from>
    <xdr:to>
      <xdr:col>8</xdr:col>
      <xdr:colOff>520700</xdr:colOff>
      <xdr:row>20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01EFD9-C34A-F2AB-F743-FB8F2DA848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6EB1A-C0E4-154C-87C6-F33624FACB93}">
  <dimension ref="A1:B13"/>
  <sheetViews>
    <sheetView tabSelected="1" workbookViewId="0"/>
  </sheetViews>
  <sheetFormatPr baseColWidth="10" defaultRowHeight="16" x14ac:dyDescent="0.2"/>
  <cols>
    <col min="1" max="1" width="30.83203125" bestFit="1" customWidth="1"/>
    <col min="2" max="2" width="14" bestFit="1" customWidth="1"/>
  </cols>
  <sheetData>
    <row r="1" spans="1:2" ht="19" x14ac:dyDescent="0.25">
      <c r="A1" s="3" t="s">
        <v>12</v>
      </c>
      <c r="B1" s="10" t="s">
        <v>19</v>
      </c>
    </row>
    <row r="2" spans="1:2" ht="19" x14ac:dyDescent="0.25">
      <c r="A2" s="4" t="s">
        <v>13</v>
      </c>
      <c r="B2" s="10" t="s">
        <v>19</v>
      </c>
    </row>
    <row r="3" spans="1:2" ht="19" x14ac:dyDescent="0.25">
      <c r="A3" s="5" t="s">
        <v>14</v>
      </c>
      <c r="B3" s="10" t="s">
        <v>19</v>
      </c>
    </row>
    <row r="4" spans="1:2" ht="19" x14ac:dyDescent="0.25">
      <c r="A4" s="6" t="s">
        <v>15</v>
      </c>
      <c r="B4" s="10" t="s">
        <v>19</v>
      </c>
    </row>
    <row r="5" spans="1:2" ht="19" x14ac:dyDescent="0.25">
      <c r="A5" s="7" t="s">
        <v>16</v>
      </c>
      <c r="B5" s="10" t="s">
        <v>19</v>
      </c>
    </row>
    <row r="6" spans="1:2" ht="19" x14ac:dyDescent="0.25">
      <c r="A6" s="8" t="s">
        <v>17</v>
      </c>
      <c r="B6" s="10" t="s">
        <v>19</v>
      </c>
    </row>
    <row r="7" spans="1:2" ht="19" x14ac:dyDescent="0.25">
      <c r="A7" s="9" t="s">
        <v>18</v>
      </c>
      <c r="B7" s="10" t="s">
        <v>19</v>
      </c>
    </row>
    <row r="10" spans="1:2" ht="19" x14ac:dyDescent="0.25">
      <c r="A10" s="2" t="s">
        <v>20</v>
      </c>
      <c r="B10" s="2" t="s">
        <v>21</v>
      </c>
    </row>
    <row r="11" spans="1:2" x14ac:dyDescent="0.2">
      <c r="A11" t="s">
        <v>22</v>
      </c>
      <c r="B11">
        <v>70</v>
      </c>
    </row>
    <row r="12" spans="1:2" x14ac:dyDescent="0.2">
      <c r="A12" t="s">
        <v>23</v>
      </c>
      <c r="B12">
        <v>50</v>
      </c>
    </row>
    <row r="13" spans="1:2" x14ac:dyDescent="0.2">
      <c r="A13" t="s">
        <v>24</v>
      </c>
      <c r="B13">
        <v>30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FFA6D-8248-7445-A303-31E98D4917A1}">
  <sheetPr codeName="Sheet5"/>
  <dimension ref="A1:D11"/>
  <sheetViews>
    <sheetView workbookViewId="0"/>
  </sheetViews>
  <sheetFormatPr baseColWidth="10" defaultRowHeight="16" x14ac:dyDescent="0.2"/>
  <cols>
    <col min="1" max="1" width="11.1640625" bestFit="1" customWidth="1"/>
    <col min="2" max="2" width="11.6640625" bestFit="1" customWidth="1"/>
    <col min="3" max="3" width="12.1640625" bestFit="1" customWidth="1"/>
  </cols>
  <sheetData>
    <row r="1" spans="1:4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">
      <c r="A2" t="s">
        <v>4</v>
      </c>
      <c r="B2" t="s">
        <v>5</v>
      </c>
      <c r="C2" t="s">
        <v>6</v>
      </c>
      <c r="D2" t="e">
        <v>#NAME?</v>
      </c>
    </row>
    <row r="3" spans="1:4" x14ac:dyDescent="0.2">
      <c r="A3" t="s">
        <v>4</v>
      </c>
      <c r="B3" t="s">
        <v>7</v>
      </c>
      <c r="C3" t="s">
        <v>6</v>
      </c>
      <c r="D3" t="e">
        <v>#DIV/0!</v>
      </c>
    </row>
    <row r="4" spans="1:4" x14ac:dyDescent="0.2">
      <c r="A4" t="s">
        <v>4</v>
      </c>
      <c r="B4" t="s">
        <v>8</v>
      </c>
      <c r="C4" t="s">
        <v>6</v>
      </c>
      <c r="D4" t="e">
        <v>#VALUE!</v>
      </c>
    </row>
    <row r="5" spans="1:4" x14ac:dyDescent="0.2">
      <c r="A5" t="s">
        <v>4</v>
      </c>
      <c r="B5" t="s">
        <v>9</v>
      </c>
      <c r="C5" t="s">
        <v>6</v>
      </c>
      <c r="D5" t="e">
        <v>#N/A</v>
      </c>
    </row>
    <row r="6" spans="1:4" x14ac:dyDescent="0.2">
      <c r="A6" t="s">
        <v>4</v>
      </c>
      <c r="B6" t="s">
        <v>10</v>
      </c>
      <c r="C6" t="s">
        <v>6</v>
      </c>
      <c r="D6" t="e">
        <v>#NUM!</v>
      </c>
    </row>
    <row r="7" spans="1:4" x14ac:dyDescent="0.2">
      <c r="A7" t="s">
        <v>4</v>
      </c>
      <c r="B7" t="s">
        <v>5</v>
      </c>
      <c r="C7" t="s">
        <v>11</v>
      </c>
      <c r="D7" t="e">
        <f ca="1">SUMM(A1:A4)</f>
        <v>#NAME?</v>
      </c>
    </row>
    <row r="8" spans="1:4" x14ac:dyDescent="0.2">
      <c r="A8" t="s">
        <v>4</v>
      </c>
      <c r="B8" t="s">
        <v>7</v>
      </c>
      <c r="C8" t="s">
        <v>11</v>
      </c>
      <c r="D8" t="e">
        <f>100/0</f>
        <v>#DIV/0!</v>
      </c>
    </row>
    <row r="9" spans="1:4" x14ac:dyDescent="0.2">
      <c r="A9" t="s">
        <v>4</v>
      </c>
      <c r="B9" t="s">
        <v>8</v>
      </c>
      <c r="C9" t="s">
        <v>11</v>
      </c>
      <c r="D9" t="e">
        <f>SUM("text", 2)</f>
        <v>#VALUE!</v>
      </c>
    </row>
    <row r="10" spans="1:4" x14ac:dyDescent="0.2">
      <c r="A10" t="s">
        <v>4</v>
      </c>
      <c r="B10" t="s">
        <v>9</v>
      </c>
      <c r="C10" t="s">
        <v>11</v>
      </c>
      <c r="D10" t="e">
        <f>VLOOKUP("NotPresent", A1:B10, 2, FALSE)</f>
        <v>#N/A</v>
      </c>
    </row>
    <row r="11" spans="1:4" x14ac:dyDescent="0.2">
      <c r="A11" t="s">
        <v>4</v>
      </c>
      <c r="B11" t="s">
        <v>10</v>
      </c>
      <c r="C11" t="s">
        <v>11</v>
      </c>
      <c r="D11" t="e">
        <f>SQRT(-1)</f>
        <v>#NUM!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0B20-EF88-8D48-A4C5-EE53A7673529}">
  <sheetPr codeName="Sheet1"/>
  <dimension ref="B3:B7"/>
  <sheetViews>
    <sheetView zoomScale="90" zoomScaleNormal="90" workbookViewId="0">
      <selection activeCell="E9" sqref="E9"/>
    </sheetView>
  </sheetViews>
  <sheetFormatPr baseColWidth="10" defaultRowHeight="16" x14ac:dyDescent="0.2"/>
  <sheetData>
    <row r="3" spans="2:2" x14ac:dyDescent="0.2">
      <c r="B3" t="e" cm="1">
        <f t="array" aca="1" ref="B3" ca="1">SUMM(A1:A4)</f>
        <v>#NAME?</v>
      </c>
    </row>
    <row r="4" spans="2:2" x14ac:dyDescent="0.2">
      <c r="B4" t="e">
        <f>100/0</f>
        <v>#DIV/0!</v>
      </c>
    </row>
    <row r="5" spans="2:2" x14ac:dyDescent="0.2">
      <c r="B5" t="e">
        <f>SUM("text", 2)</f>
        <v>#VALUE!</v>
      </c>
    </row>
    <row r="6" spans="2:2" x14ac:dyDescent="0.2">
      <c r="B6" t="e">
        <f>VLOOKUP("NotPresent", A1:B10, 2, FALSE)</f>
        <v>#N/A</v>
      </c>
    </row>
    <row r="7" spans="2:2" x14ac:dyDescent="0.2">
      <c r="B7" t="e">
        <f>SQRT(-1)</f>
        <v>#NUM!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Patient-Based Forecast</vt:lpstr>
      <vt:lpstr>Errors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231250044_ Dhruv Batta</dc:creator>
  <cp:lastModifiedBy>231250044_ Dhruv Batta</cp:lastModifiedBy>
  <dcterms:created xsi:type="dcterms:W3CDTF">2024-09-26T12:02:14Z</dcterms:created>
  <dcterms:modified xsi:type="dcterms:W3CDTF">2024-09-30T12:22:31Z</dcterms:modified>
</cp:coreProperties>
</file>